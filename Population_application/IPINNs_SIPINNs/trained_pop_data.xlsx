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nway\PhD_PDE\Python\Population\"/>
    </mc:Choice>
  </mc:AlternateContent>
  <xr:revisionPtr revIDLastSave="0" documentId="8_{4620F674-F022-4D52-BC98-137D2517220E}" xr6:coauthVersionLast="47" xr6:coauthVersionMax="47" xr10:uidLastSave="{00000000-0000-0000-0000-000000000000}"/>
  <bookViews>
    <workbookView xWindow="-110" yWindow="-110" windowWidth="19420" windowHeight="11500" xr2:uid="{B5BA10CB-AB01-4502-BAFD-DC44C0D2E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3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O2" i="1"/>
  <c r="N2" i="1"/>
</calcChain>
</file>

<file path=xl/sharedStrings.xml><?xml version="1.0" encoding="utf-8"?>
<sst xmlns="http://schemas.openxmlformats.org/spreadsheetml/2006/main" count="10" uniqueCount="10">
  <si>
    <t>Time</t>
  </si>
  <si>
    <t>Female</t>
  </si>
  <si>
    <t>Male</t>
  </si>
  <si>
    <t>t_ori</t>
  </si>
  <si>
    <t>x_ori</t>
  </si>
  <si>
    <t>y_ori</t>
  </si>
  <si>
    <t>x_difference</t>
  </si>
  <si>
    <t>y_difference</t>
  </si>
  <si>
    <t>mannual_dxdt</t>
  </si>
  <si>
    <t>mannual_dydt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</si>
</sst>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0" xfId="0" applyNumberFormat="1" applyFill="1" applyAlignment="1">
      <alignment horizontal="center"/>
    </xf>
    <xf numFmtId="0" fontId="0" fillId="0" borderId="0" xfId="0" applyFill="1"/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366F-730C-48FB-BC81-F71DBB78F4D9}">
  <dimension ref="A1:O54"/>
  <sheetViews>
    <sheetView tabSelected="1" workbookViewId="0">
      <selection activeCell="H50" sqref="H50"/>
    </sheetView>
  </sheetViews>
  <sheetFormatPr defaultRowHeight="14.5" x14ac:dyDescent="0.35"/>
  <cols>
    <col min="4" max="5" width="12.08984375" bestFit="1" customWidth="1"/>
    <col min="8" max="8" width="8.7265625" style="2"/>
  </cols>
  <sheetData>
    <row r="1" spans="1:15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I1" t="s">
        <v>3</v>
      </c>
      <c r="J1" t="s">
        <v>4</v>
      </c>
      <c r="K1" t="s">
        <v>5</v>
      </c>
      <c r="N1" t="s">
        <v>6</v>
      </c>
      <c r="O1" t="s">
        <v>7</v>
      </c>
    </row>
    <row r="2" spans="1:15" x14ac:dyDescent="0.35">
      <c r="A2">
        <v>1971</v>
      </c>
      <c r="B2">
        <v>5500</v>
      </c>
      <c r="C2">
        <v>5600</v>
      </c>
      <c r="I2">
        <v>1971</v>
      </c>
      <c r="J2">
        <v>5506.6</v>
      </c>
      <c r="K2">
        <v>5653.3</v>
      </c>
      <c r="N2">
        <f>J2-B2</f>
        <v>6.6000000000003638</v>
      </c>
      <c r="O2">
        <f>K2-C2</f>
        <v>53.300000000000182</v>
      </c>
    </row>
    <row r="3" spans="1:15" x14ac:dyDescent="0.35">
      <c r="A3">
        <v>1972</v>
      </c>
      <c r="B3">
        <v>5681.6537473316803</v>
      </c>
      <c r="C3">
        <v>5782.1013102338402</v>
      </c>
      <c r="D3">
        <f>(B4-B2)/(2*(A4-A2))</f>
        <v>91.739852781472564</v>
      </c>
      <c r="E3">
        <f>(C4-C2)/(2*(A4-A2))</f>
        <v>92.0680641995325</v>
      </c>
      <c r="F3" s="1">
        <v>142.69999999999982</v>
      </c>
      <c r="G3" s="1">
        <v>137.34999999999991</v>
      </c>
      <c r="H3" s="3"/>
      <c r="I3">
        <v>1972</v>
      </c>
      <c r="J3">
        <v>5649.8</v>
      </c>
      <c r="K3">
        <v>5791.4</v>
      </c>
      <c r="N3">
        <f t="shared" ref="N3:N54" si="0">J3-B3</f>
        <v>-31.853747331680097</v>
      </c>
      <c r="O3">
        <f t="shared" ref="O3:O54" si="1">K3-C3</f>
        <v>9.2986897661594412</v>
      </c>
    </row>
    <row r="4" spans="1:15" x14ac:dyDescent="0.35">
      <c r="A4">
        <v>1973</v>
      </c>
      <c r="B4">
        <v>5866.9594111258903</v>
      </c>
      <c r="C4">
        <v>5968.27225679813</v>
      </c>
      <c r="D4">
        <f t="shared" ref="D4:D53" si="2">(B5-B3)/(2*(A5-A3))</f>
        <v>93.548047925040009</v>
      </c>
      <c r="E4">
        <f t="shared" ref="E4:E53" si="3">(C5-C3)/(2*(A5-A3))</f>
        <v>94.09590139378497</v>
      </c>
      <c r="F4" s="1">
        <v>142.65000000000009</v>
      </c>
      <c r="G4" s="1">
        <v>137.45000000000027</v>
      </c>
      <c r="H4" s="3"/>
      <c r="I4">
        <v>1973</v>
      </c>
      <c r="J4">
        <v>5792</v>
      </c>
      <c r="K4">
        <v>5928</v>
      </c>
      <c r="N4">
        <f t="shared" si="0"/>
        <v>-74.959411125890256</v>
      </c>
      <c r="O4">
        <f t="shared" si="1"/>
        <v>-40.272256798130002</v>
      </c>
    </row>
    <row r="5" spans="1:15" x14ac:dyDescent="0.35">
      <c r="A5">
        <v>1974</v>
      </c>
      <c r="B5">
        <v>6055.8459390318403</v>
      </c>
      <c r="C5">
        <v>6158.4849158089801</v>
      </c>
      <c r="D5">
        <f t="shared" si="2"/>
        <v>95.318281577217476</v>
      </c>
      <c r="E5">
        <f t="shared" si="3"/>
        <v>96.107757162724965</v>
      </c>
      <c r="F5" s="1">
        <v>147.5</v>
      </c>
      <c r="G5" s="1">
        <v>142.44999999999982</v>
      </c>
      <c r="H5" s="3"/>
      <c r="I5">
        <v>1974</v>
      </c>
      <c r="J5">
        <v>5935.1</v>
      </c>
      <c r="K5">
        <v>6066.3</v>
      </c>
      <c r="N5">
        <f t="shared" si="0"/>
        <v>-120.74593903183995</v>
      </c>
      <c r="O5">
        <f t="shared" si="1"/>
        <v>-92.184915808979895</v>
      </c>
    </row>
    <row r="6" spans="1:15" x14ac:dyDescent="0.35">
      <c r="A6">
        <v>1975</v>
      </c>
      <c r="B6">
        <v>6248.2325374347602</v>
      </c>
      <c r="C6">
        <v>6352.7032854490299</v>
      </c>
      <c r="D6">
        <f t="shared" si="2"/>
        <v>97.040594684384814</v>
      </c>
      <c r="E6">
        <f t="shared" si="3"/>
        <v>98.099128920017392</v>
      </c>
      <c r="F6" s="1">
        <v>149.34999999999991</v>
      </c>
      <c r="G6" s="1">
        <v>144.09999999999991</v>
      </c>
      <c r="H6" s="3"/>
      <c r="I6">
        <v>1975</v>
      </c>
      <c r="J6">
        <v>6087</v>
      </c>
      <c r="K6">
        <v>6212.9</v>
      </c>
      <c r="N6">
        <f t="shared" si="0"/>
        <v>-161.23253743476016</v>
      </c>
      <c r="O6">
        <f t="shared" si="1"/>
        <v>-139.80328544903023</v>
      </c>
    </row>
    <row r="7" spans="1:15" x14ac:dyDescent="0.35">
      <c r="A7">
        <v>1976</v>
      </c>
      <c r="B7">
        <v>6444.0083177693796</v>
      </c>
      <c r="C7">
        <v>6550.8814314890496</v>
      </c>
      <c r="D7">
        <f t="shared" si="2"/>
        <v>98.705400489407566</v>
      </c>
      <c r="E7">
        <f t="shared" si="3"/>
        <v>100.06526670359494</v>
      </c>
      <c r="F7" s="1">
        <v>152.84999999999991</v>
      </c>
      <c r="G7" s="1">
        <v>147.70000000000027</v>
      </c>
      <c r="H7" s="3"/>
      <c r="I7">
        <v>1976</v>
      </c>
      <c r="J7">
        <v>6233.8</v>
      </c>
      <c r="K7">
        <v>6354.5</v>
      </c>
      <c r="N7">
        <f t="shared" si="0"/>
        <v>-210.20831776937939</v>
      </c>
      <c r="O7">
        <f t="shared" si="1"/>
        <v>-196.38143148904965</v>
      </c>
    </row>
    <row r="8" spans="1:15" x14ac:dyDescent="0.35">
      <c r="A8">
        <v>1977</v>
      </c>
      <c r="B8">
        <v>6643.0541393923904</v>
      </c>
      <c r="C8">
        <v>6752.9643522634096</v>
      </c>
      <c r="D8">
        <f t="shared" si="2"/>
        <v>100.30869745019004</v>
      </c>
      <c r="E8">
        <f t="shared" si="3"/>
        <v>102.00164307421505</v>
      </c>
      <c r="F8" s="1">
        <v>155.34999999999991</v>
      </c>
      <c r="G8" s="1">
        <v>150.65000000000009</v>
      </c>
      <c r="H8" s="3"/>
      <c r="I8">
        <v>1977</v>
      </c>
      <c r="J8">
        <v>6392.7</v>
      </c>
      <c r="K8">
        <v>6508.3</v>
      </c>
      <c r="N8">
        <f t="shared" si="0"/>
        <v>-250.35413939239061</v>
      </c>
      <c r="O8">
        <f t="shared" si="1"/>
        <v>-244.66435226340946</v>
      </c>
    </row>
    <row r="9" spans="1:15" x14ac:dyDescent="0.35">
      <c r="A9">
        <v>1978</v>
      </c>
      <c r="B9">
        <v>6845.2431075701397</v>
      </c>
      <c r="C9">
        <v>6958.8880037859099</v>
      </c>
      <c r="D9">
        <f t="shared" si="2"/>
        <v>101.8466085215623</v>
      </c>
      <c r="E9">
        <f t="shared" si="3"/>
        <v>103.90373687159513</v>
      </c>
      <c r="F9" s="1">
        <v>156.55000000000018</v>
      </c>
      <c r="G9" s="1">
        <v>152.09999999999991</v>
      </c>
      <c r="H9" s="3"/>
      <c r="I9">
        <v>1978</v>
      </c>
      <c r="J9">
        <v>6544.5</v>
      </c>
      <c r="K9">
        <v>6655.8</v>
      </c>
      <c r="N9">
        <f t="shared" si="0"/>
        <v>-300.74310757013973</v>
      </c>
      <c r="O9">
        <f t="shared" si="1"/>
        <v>-303.08800378590968</v>
      </c>
    </row>
    <row r="10" spans="1:15" x14ac:dyDescent="0.35">
      <c r="A10">
        <v>1979</v>
      </c>
      <c r="B10">
        <v>7050.4405734786396</v>
      </c>
      <c r="C10">
        <v>7168.5792997497902</v>
      </c>
      <c r="D10">
        <f t="shared" si="2"/>
        <v>103.31525665836512</v>
      </c>
      <c r="E10">
        <f t="shared" si="3"/>
        <v>105.76702693545508</v>
      </c>
      <c r="F10" s="1">
        <v>171.34999999999991</v>
      </c>
      <c r="G10" s="1">
        <v>168.09999999999991</v>
      </c>
      <c r="H10" s="3"/>
      <c r="I10">
        <v>1979</v>
      </c>
      <c r="J10">
        <v>6705.8</v>
      </c>
      <c r="K10">
        <v>6812.5</v>
      </c>
      <c r="N10">
        <f t="shared" si="0"/>
        <v>-344.64057347863945</v>
      </c>
      <c r="O10">
        <f t="shared" si="1"/>
        <v>-356.07929974979015</v>
      </c>
    </row>
    <row r="11" spans="1:15" x14ac:dyDescent="0.35">
      <c r="A11">
        <v>1980</v>
      </c>
      <c r="B11">
        <v>7258.5041342036002</v>
      </c>
      <c r="C11">
        <v>7381.9561115277302</v>
      </c>
      <c r="D11">
        <f t="shared" si="2"/>
        <v>104.71076481543014</v>
      </c>
      <c r="E11">
        <f t="shared" si="3"/>
        <v>107.58699210550753</v>
      </c>
      <c r="F11" s="1">
        <v>181.25</v>
      </c>
      <c r="G11" s="1">
        <v>188.05000000000018</v>
      </c>
      <c r="H11" s="3"/>
      <c r="I11">
        <v>1980</v>
      </c>
      <c r="J11">
        <v>6887.2</v>
      </c>
      <c r="K11">
        <v>6992</v>
      </c>
      <c r="N11">
        <f t="shared" si="0"/>
        <v>-371.30413420360037</v>
      </c>
      <c r="O11">
        <f t="shared" si="1"/>
        <v>-389.95611152773017</v>
      </c>
    </row>
    <row r="12" spans="1:15" x14ac:dyDescent="0.35">
      <c r="A12">
        <v>1981</v>
      </c>
      <c r="B12">
        <v>7469.2836327403602</v>
      </c>
      <c r="C12">
        <v>7598.9272681718203</v>
      </c>
      <c r="D12">
        <f t="shared" si="2"/>
        <v>106.02925594758995</v>
      </c>
      <c r="E12">
        <f t="shared" si="3"/>
        <v>109.3591112214724</v>
      </c>
      <c r="F12" s="1">
        <v>184.95000000000027</v>
      </c>
      <c r="G12" s="1">
        <v>201.05000000000018</v>
      </c>
      <c r="H12" s="3"/>
      <c r="I12">
        <v>1981</v>
      </c>
      <c r="J12">
        <v>7068.3</v>
      </c>
      <c r="K12">
        <v>7188.6</v>
      </c>
      <c r="N12">
        <f t="shared" si="0"/>
        <v>-400.98363274036001</v>
      </c>
      <c r="O12">
        <f t="shared" si="1"/>
        <v>-410.32726817181992</v>
      </c>
    </row>
    <row r="13" spans="1:15" x14ac:dyDescent="0.35">
      <c r="A13">
        <v>1982</v>
      </c>
      <c r="B13">
        <v>7682.62115799396</v>
      </c>
      <c r="C13">
        <v>7819.3925564136198</v>
      </c>
      <c r="D13">
        <f t="shared" si="2"/>
        <v>107.26685300968757</v>
      </c>
      <c r="E13">
        <f t="shared" si="3"/>
        <v>111.07886312306982</v>
      </c>
      <c r="F13" s="1">
        <v>189.69999999999982</v>
      </c>
      <c r="G13" s="1">
        <v>206</v>
      </c>
      <c r="H13" s="3"/>
      <c r="I13">
        <v>1982</v>
      </c>
      <c r="J13">
        <v>7257.1</v>
      </c>
      <c r="K13">
        <v>7394.1</v>
      </c>
      <c r="N13">
        <f t="shared" si="0"/>
        <v>-425.5211579939596</v>
      </c>
      <c r="O13">
        <f t="shared" si="1"/>
        <v>-425.29255641361942</v>
      </c>
    </row>
    <row r="14" spans="1:15" x14ac:dyDescent="0.35">
      <c r="A14">
        <v>1983</v>
      </c>
      <c r="B14">
        <v>7898.3510447791105</v>
      </c>
      <c r="C14">
        <v>8043.2427206640996</v>
      </c>
      <c r="D14">
        <f t="shared" si="2"/>
        <v>108.41967895655262</v>
      </c>
      <c r="E14">
        <f t="shared" si="3"/>
        <v>112.74172665000992</v>
      </c>
      <c r="F14" s="1">
        <v>191.54999999999973</v>
      </c>
      <c r="G14" s="1">
        <v>208.04999999999973</v>
      </c>
      <c r="H14" s="3"/>
      <c r="I14">
        <v>1983</v>
      </c>
      <c r="J14">
        <v>7447.7</v>
      </c>
      <c r="K14">
        <v>7600.6</v>
      </c>
      <c r="N14">
        <f t="shared" si="0"/>
        <v>-450.65104477911063</v>
      </c>
      <c r="O14">
        <f t="shared" si="1"/>
        <v>-442.64272066409922</v>
      </c>
    </row>
    <row r="15" spans="1:15" x14ac:dyDescent="0.35">
      <c r="A15">
        <v>1984</v>
      </c>
      <c r="B15">
        <v>8116.2998738201704</v>
      </c>
      <c r="C15">
        <v>8270.3594630136595</v>
      </c>
      <c r="D15">
        <f t="shared" si="2"/>
        <v>109.48385674301744</v>
      </c>
      <c r="E15">
        <f t="shared" si="3"/>
        <v>114.34318064201238</v>
      </c>
      <c r="F15" s="1">
        <v>200.95000000000027</v>
      </c>
      <c r="G15" s="1">
        <v>216.25</v>
      </c>
      <c r="H15" s="3"/>
      <c r="I15">
        <v>1984</v>
      </c>
      <c r="J15">
        <v>7640.2</v>
      </c>
      <c r="K15">
        <v>7810.2</v>
      </c>
      <c r="N15">
        <f t="shared" si="0"/>
        <v>-476.09987382017061</v>
      </c>
      <c r="O15">
        <f t="shared" si="1"/>
        <v>-460.15946301365966</v>
      </c>
    </row>
    <row r="16" spans="1:15" x14ac:dyDescent="0.35">
      <c r="A16">
        <v>1985</v>
      </c>
      <c r="B16">
        <v>8336.2864717511802</v>
      </c>
      <c r="C16">
        <v>8500.6154432321491</v>
      </c>
      <c r="D16">
        <f t="shared" si="2"/>
        <v>110.45550932392257</v>
      </c>
      <c r="E16">
        <f t="shared" si="3"/>
        <v>115.87870393879257</v>
      </c>
      <c r="F16" s="1">
        <v>212.59999999999991</v>
      </c>
      <c r="G16" s="1">
        <v>226.90000000000009</v>
      </c>
      <c r="H16" s="3"/>
      <c r="I16">
        <v>1985</v>
      </c>
      <c r="J16">
        <v>7849.6</v>
      </c>
      <c r="K16">
        <v>8033.1</v>
      </c>
      <c r="N16">
        <f t="shared" si="0"/>
        <v>-486.68647175117985</v>
      </c>
      <c r="O16">
        <f t="shared" si="1"/>
        <v>-467.51544323214875</v>
      </c>
    </row>
    <row r="17" spans="1:15" x14ac:dyDescent="0.35">
      <c r="A17">
        <v>1986</v>
      </c>
      <c r="B17">
        <v>8558.1219111158607</v>
      </c>
      <c r="C17">
        <v>8733.8742787688298</v>
      </c>
      <c r="D17">
        <f t="shared" si="2"/>
        <v>111.33075965410262</v>
      </c>
      <c r="E17">
        <f t="shared" si="3"/>
        <v>117.34377538007266</v>
      </c>
      <c r="F17" s="1">
        <v>214.55000000000018</v>
      </c>
      <c r="G17" s="1">
        <v>230.80000000000018</v>
      </c>
      <c r="H17" s="3"/>
      <c r="I17">
        <v>1986</v>
      </c>
      <c r="J17">
        <v>8065.4</v>
      </c>
      <c r="K17">
        <v>8264</v>
      </c>
      <c r="N17">
        <f t="shared" si="0"/>
        <v>-492.72191111586108</v>
      </c>
      <c r="O17">
        <f t="shared" si="1"/>
        <v>-469.87427876882975</v>
      </c>
    </row>
    <row r="18" spans="1:15" x14ac:dyDescent="0.35">
      <c r="A18">
        <v>1987</v>
      </c>
      <c r="B18">
        <v>8781.6095103675907</v>
      </c>
      <c r="C18">
        <v>8969.9905447524397</v>
      </c>
      <c r="D18">
        <f t="shared" si="2"/>
        <v>112.10573068838994</v>
      </c>
      <c r="E18">
        <f t="shared" si="3"/>
        <v>118.73387380556778</v>
      </c>
      <c r="F18" s="1">
        <v>213.85000000000036</v>
      </c>
      <c r="G18" s="1">
        <v>231</v>
      </c>
      <c r="H18" s="3"/>
      <c r="I18">
        <v>1987</v>
      </c>
      <c r="J18">
        <v>8278.7000000000007</v>
      </c>
      <c r="K18">
        <v>8494.7000000000007</v>
      </c>
      <c r="N18">
        <f t="shared" si="0"/>
        <v>-502.90951036758997</v>
      </c>
      <c r="O18">
        <f t="shared" si="1"/>
        <v>-475.29054475243902</v>
      </c>
    </row>
    <row r="19" spans="1:15" x14ac:dyDescent="0.35">
      <c r="A19">
        <v>1988</v>
      </c>
      <c r="B19">
        <v>9006.5448338694205</v>
      </c>
      <c r="C19">
        <v>9208.8097739911009</v>
      </c>
      <c r="D19">
        <f t="shared" si="2"/>
        <v>112.7765453816196</v>
      </c>
      <c r="E19">
        <f t="shared" si="3"/>
        <v>120.0444780549924</v>
      </c>
      <c r="F19" s="1">
        <v>213.39999999999964</v>
      </c>
      <c r="G19" s="1">
        <v>230.84999999999945</v>
      </c>
      <c r="H19" s="3"/>
      <c r="I19">
        <v>1988</v>
      </c>
      <c r="J19">
        <v>8493.1</v>
      </c>
      <c r="K19">
        <v>8726</v>
      </c>
      <c r="N19">
        <f t="shared" si="0"/>
        <v>-513.44483386942011</v>
      </c>
      <c r="O19">
        <f t="shared" si="1"/>
        <v>-482.80977399110088</v>
      </c>
    </row>
    <row r="20" spans="1:15" x14ac:dyDescent="0.35">
      <c r="A20">
        <v>1989</v>
      </c>
      <c r="B20">
        <v>9232.7156918940691</v>
      </c>
      <c r="C20">
        <v>9450.1684569724093</v>
      </c>
      <c r="D20">
        <f t="shared" si="2"/>
        <v>113.33932668863008</v>
      </c>
      <c r="E20">
        <f t="shared" si="3"/>
        <v>121.27106696806459</v>
      </c>
      <c r="F20" s="1">
        <v>212.05000000000018</v>
      </c>
      <c r="G20" s="1">
        <v>229.60000000000036</v>
      </c>
      <c r="H20" s="3"/>
      <c r="I20">
        <v>1989</v>
      </c>
      <c r="J20">
        <v>8705.5</v>
      </c>
      <c r="K20">
        <v>8956.4</v>
      </c>
      <c r="N20">
        <f t="shared" si="0"/>
        <v>-527.2156918940691</v>
      </c>
      <c r="O20">
        <f t="shared" si="1"/>
        <v>-493.76845697240969</v>
      </c>
    </row>
    <row r="21" spans="1:15" x14ac:dyDescent="0.35">
      <c r="A21">
        <v>1990</v>
      </c>
      <c r="B21">
        <v>9459.9021406239408</v>
      </c>
      <c r="C21">
        <v>9693.8940418633592</v>
      </c>
      <c r="D21">
        <f t="shared" si="2"/>
        <v>113.79019756425532</v>
      </c>
      <c r="E21">
        <f t="shared" si="3"/>
        <v>122.40911938449744</v>
      </c>
      <c r="F21" s="1">
        <v>212.60000000000036</v>
      </c>
      <c r="G21" s="1">
        <v>230</v>
      </c>
      <c r="H21" s="3"/>
      <c r="I21">
        <v>1990</v>
      </c>
      <c r="J21">
        <v>8917.2000000000007</v>
      </c>
      <c r="K21">
        <v>9185.2000000000007</v>
      </c>
      <c r="N21">
        <f t="shared" si="0"/>
        <v>-542.70214062394007</v>
      </c>
      <c r="O21">
        <f t="shared" si="1"/>
        <v>-508.69404186335851</v>
      </c>
    </row>
    <row r="22" spans="1:15" x14ac:dyDescent="0.35">
      <c r="A22">
        <v>1991</v>
      </c>
      <c r="B22">
        <v>9687.8764821510904</v>
      </c>
      <c r="C22">
        <v>9939.8049345103991</v>
      </c>
      <c r="D22">
        <f t="shared" si="2"/>
        <v>114.12528096332744</v>
      </c>
      <c r="E22">
        <f t="shared" si="3"/>
        <v>123.45411414401042</v>
      </c>
      <c r="F22" s="1">
        <v>231.64999999999964</v>
      </c>
      <c r="G22" s="1">
        <v>250.89999999999964</v>
      </c>
      <c r="H22" s="3"/>
      <c r="I22">
        <v>1991</v>
      </c>
      <c r="J22">
        <v>9130.7000000000007</v>
      </c>
      <c r="K22">
        <v>9416.4</v>
      </c>
      <c r="N22">
        <f t="shared" si="0"/>
        <v>-557.17648215108966</v>
      </c>
      <c r="O22">
        <f t="shared" si="1"/>
        <v>-523.40493451039947</v>
      </c>
    </row>
    <row r="23" spans="1:15" x14ac:dyDescent="0.35">
      <c r="A23">
        <v>1992</v>
      </c>
      <c r="B23">
        <v>9916.4032644772506</v>
      </c>
      <c r="C23">
        <v>10187.710498439401</v>
      </c>
      <c r="D23">
        <f t="shared" si="2"/>
        <v>114.34069984067719</v>
      </c>
      <c r="E23">
        <f t="shared" si="3"/>
        <v>124.40153008632524</v>
      </c>
      <c r="F23" s="1">
        <v>253.69999999999982</v>
      </c>
      <c r="G23" s="1">
        <v>273.55000000000018</v>
      </c>
      <c r="H23" s="3"/>
      <c r="I23">
        <v>1992</v>
      </c>
      <c r="J23">
        <v>9380.5</v>
      </c>
      <c r="K23">
        <v>9687</v>
      </c>
      <c r="N23">
        <f t="shared" si="0"/>
        <v>-535.90326447725056</v>
      </c>
      <c r="O23">
        <f t="shared" si="1"/>
        <v>-500.71049843940091</v>
      </c>
    </row>
    <row r="24" spans="1:15" x14ac:dyDescent="0.35">
      <c r="A24">
        <v>1993</v>
      </c>
      <c r="B24">
        <v>10145.239281513799</v>
      </c>
      <c r="C24">
        <v>10437.4110548557</v>
      </c>
      <c r="D24">
        <f t="shared" si="2"/>
        <v>114.44600227261253</v>
      </c>
      <c r="E24">
        <f t="shared" si="3"/>
        <v>125.26434233699956</v>
      </c>
      <c r="F24" s="1">
        <v>259.19999999999982</v>
      </c>
      <c r="G24" s="1">
        <v>278</v>
      </c>
      <c r="H24" s="3"/>
      <c r="I24">
        <v>1993</v>
      </c>
      <c r="J24">
        <v>9638.1</v>
      </c>
      <c r="K24">
        <v>9963.5</v>
      </c>
      <c r="N24">
        <f t="shared" si="0"/>
        <v>-507.13928151379878</v>
      </c>
      <c r="O24">
        <f t="shared" si="1"/>
        <v>-473.91105485570006</v>
      </c>
    </row>
    <row r="25" spans="1:15" x14ac:dyDescent="0.35">
      <c r="A25">
        <v>1994</v>
      </c>
      <c r="B25">
        <v>10374.187273567701</v>
      </c>
      <c r="C25">
        <v>10688.767867787399</v>
      </c>
      <c r="D25">
        <f t="shared" si="2"/>
        <v>114.45266037810006</v>
      </c>
      <c r="E25">
        <f t="shared" si="3"/>
        <v>126.05232653280018</v>
      </c>
      <c r="F25" s="1">
        <v>261.09999999999945</v>
      </c>
      <c r="G25" s="1">
        <v>279.05000000000018</v>
      </c>
      <c r="H25" s="3"/>
      <c r="I25">
        <v>1994</v>
      </c>
      <c r="J25">
        <v>9898.9</v>
      </c>
      <c r="K25">
        <v>10243</v>
      </c>
      <c r="N25">
        <f t="shared" si="0"/>
        <v>-475.28727356770105</v>
      </c>
      <c r="O25">
        <f t="shared" si="1"/>
        <v>-445.76786778739915</v>
      </c>
    </row>
    <row r="26" spans="1:15" x14ac:dyDescent="0.35">
      <c r="A26">
        <v>1995</v>
      </c>
      <c r="B26">
        <v>10603.049923026199</v>
      </c>
      <c r="C26">
        <v>10941.620360986901</v>
      </c>
      <c r="D26">
        <f t="shared" si="2"/>
        <v>114.34614793547462</v>
      </c>
      <c r="E26">
        <f t="shared" si="3"/>
        <v>126.73683816065022</v>
      </c>
      <c r="F26" s="1">
        <v>261.69999999999982</v>
      </c>
      <c r="G26" s="1">
        <v>278.55000000000018</v>
      </c>
      <c r="H26" s="3"/>
      <c r="I26">
        <v>1995</v>
      </c>
      <c r="J26">
        <v>10160.299999999999</v>
      </c>
      <c r="K26">
        <v>10521.6</v>
      </c>
      <c r="N26">
        <f t="shared" si="0"/>
        <v>-442.74992302620012</v>
      </c>
      <c r="O26">
        <f t="shared" si="1"/>
        <v>-420.02036098690041</v>
      </c>
    </row>
    <row r="27" spans="1:15" x14ac:dyDescent="0.35">
      <c r="A27">
        <v>1996</v>
      </c>
      <c r="B27">
        <v>10831.571865309599</v>
      </c>
      <c r="C27">
        <v>11195.71522043</v>
      </c>
      <c r="D27">
        <f t="shared" si="2"/>
        <v>114.11408836712508</v>
      </c>
      <c r="E27">
        <f t="shared" si="3"/>
        <v>127.29587869337502</v>
      </c>
      <c r="F27" s="1">
        <v>263.55000000000018</v>
      </c>
      <c r="G27" s="1">
        <v>280.19999999999982</v>
      </c>
      <c r="H27" s="3"/>
      <c r="I27">
        <v>1996</v>
      </c>
      <c r="J27">
        <v>10422.299999999999</v>
      </c>
      <c r="K27">
        <v>10800.1</v>
      </c>
      <c r="N27">
        <f t="shared" si="0"/>
        <v>-409.27186530959989</v>
      </c>
      <c r="O27">
        <f t="shared" si="1"/>
        <v>-395.61522042999968</v>
      </c>
    </row>
    <row r="28" spans="1:15" x14ac:dyDescent="0.35">
      <c r="A28">
        <v>1997</v>
      </c>
      <c r="B28">
        <v>11059.5062764947</v>
      </c>
      <c r="C28">
        <v>11450.803875760401</v>
      </c>
      <c r="D28">
        <f t="shared" si="2"/>
        <v>113.76077223687525</v>
      </c>
      <c r="E28">
        <f t="shared" si="3"/>
        <v>127.73184814327487</v>
      </c>
      <c r="F28" s="1">
        <v>269.65000000000055</v>
      </c>
      <c r="G28" s="1">
        <v>285.94999999999982</v>
      </c>
      <c r="H28" s="3"/>
      <c r="I28">
        <v>1997</v>
      </c>
      <c r="J28">
        <v>10687.4</v>
      </c>
      <c r="K28">
        <v>11082</v>
      </c>
      <c r="N28">
        <f t="shared" si="0"/>
        <v>-372.10627649470007</v>
      </c>
      <c r="O28">
        <f t="shared" si="1"/>
        <v>-368.80387576040084</v>
      </c>
    </row>
    <row r="29" spans="1:15" x14ac:dyDescent="0.35">
      <c r="A29">
        <v>1998</v>
      </c>
      <c r="B29">
        <v>11286.6149542571</v>
      </c>
      <c r="C29">
        <v>11706.6426130031</v>
      </c>
      <c r="D29">
        <f t="shared" si="2"/>
        <v>113.29051034414988</v>
      </c>
      <c r="E29">
        <f t="shared" si="3"/>
        <v>128.04717470077458</v>
      </c>
      <c r="F29" s="1">
        <v>277.65000000000055</v>
      </c>
      <c r="G29" s="1">
        <v>292.35000000000036</v>
      </c>
      <c r="H29" s="3"/>
      <c r="I29">
        <v>1998</v>
      </c>
      <c r="J29">
        <v>10961.6</v>
      </c>
      <c r="K29">
        <v>11372</v>
      </c>
      <c r="N29">
        <f t="shared" si="0"/>
        <v>-325.01495425709982</v>
      </c>
      <c r="O29">
        <f t="shared" si="1"/>
        <v>-334.64261300309954</v>
      </c>
    </row>
    <row r="30" spans="1:15" x14ac:dyDescent="0.35">
      <c r="A30">
        <v>1999</v>
      </c>
      <c r="B30">
        <v>11512.668317871299</v>
      </c>
      <c r="C30">
        <v>11962.992574563499</v>
      </c>
      <c r="D30">
        <f t="shared" si="2"/>
        <v>112.70761348832502</v>
      </c>
      <c r="E30">
        <f t="shared" si="3"/>
        <v>128.24428655627526</v>
      </c>
      <c r="F30" s="1">
        <v>283.89999999999964</v>
      </c>
      <c r="G30" s="1">
        <v>296.80000000000018</v>
      </c>
      <c r="H30" s="3"/>
      <c r="I30">
        <v>1999</v>
      </c>
      <c r="J30">
        <v>11242.7</v>
      </c>
      <c r="K30">
        <v>11666.7</v>
      </c>
      <c r="N30">
        <f t="shared" si="0"/>
        <v>-269.9683178712985</v>
      </c>
      <c r="O30">
        <f t="shared" si="1"/>
        <v>-296.29257456349842</v>
      </c>
    </row>
    <row r="31" spans="1:15" x14ac:dyDescent="0.35">
      <c r="A31">
        <v>2000</v>
      </c>
      <c r="B31">
        <v>11737.4454082104</v>
      </c>
      <c r="C31">
        <v>12219.619759228201</v>
      </c>
      <c r="D31">
        <f t="shared" si="2"/>
        <v>112.01639246887498</v>
      </c>
      <c r="E31">
        <f t="shared" si="3"/>
        <v>128.32561190025035</v>
      </c>
      <c r="F31" s="1">
        <v>265.19999999999982</v>
      </c>
      <c r="G31" s="1">
        <v>295.34999999999945</v>
      </c>
      <c r="H31" s="3"/>
      <c r="I31">
        <v>2000</v>
      </c>
      <c r="J31">
        <v>11529.4</v>
      </c>
      <c r="K31">
        <v>11965.6</v>
      </c>
      <c r="N31">
        <f t="shared" si="0"/>
        <v>-208.04540821040064</v>
      </c>
      <c r="O31">
        <f t="shared" si="1"/>
        <v>-254.0197592282002</v>
      </c>
    </row>
    <row r="32" spans="1:15" x14ac:dyDescent="0.35">
      <c r="A32">
        <v>2001</v>
      </c>
      <c r="B32">
        <v>11960.733887746799</v>
      </c>
      <c r="C32">
        <v>12476.295022164501</v>
      </c>
      <c r="D32">
        <f t="shared" si="2"/>
        <v>111.22115808519993</v>
      </c>
      <c r="E32">
        <f t="shared" si="3"/>
        <v>128.29357892307507</v>
      </c>
      <c r="F32" s="1">
        <v>238.05000000000018</v>
      </c>
      <c r="G32" s="1">
        <v>285.75</v>
      </c>
      <c r="H32" s="3"/>
      <c r="I32">
        <v>2001</v>
      </c>
      <c r="J32">
        <v>11773.1</v>
      </c>
      <c r="K32">
        <v>12257.4</v>
      </c>
      <c r="N32">
        <f t="shared" si="0"/>
        <v>-187.63388774679879</v>
      </c>
      <c r="O32">
        <f t="shared" si="1"/>
        <v>-218.89502216450092</v>
      </c>
    </row>
    <row r="33" spans="1:15" x14ac:dyDescent="0.35">
      <c r="A33">
        <v>2002</v>
      </c>
      <c r="B33">
        <v>12182.3300405512</v>
      </c>
      <c r="C33">
        <v>12732.794074920501</v>
      </c>
      <c r="D33">
        <f t="shared" si="2"/>
        <v>110.32622113667503</v>
      </c>
      <c r="E33">
        <f t="shared" si="3"/>
        <v>128.15061581522468</v>
      </c>
      <c r="F33" s="1">
        <v>228.39999999999964</v>
      </c>
      <c r="G33" s="1">
        <v>275.35000000000036</v>
      </c>
      <c r="H33" s="3"/>
      <c r="I33">
        <v>2002</v>
      </c>
      <c r="J33">
        <v>12005.5</v>
      </c>
      <c r="K33">
        <v>12537.1</v>
      </c>
      <c r="N33">
        <f t="shared" si="0"/>
        <v>-176.8300405512</v>
      </c>
      <c r="O33">
        <f t="shared" si="1"/>
        <v>-195.6940749205005</v>
      </c>
    </row>
    <row r="34" spans="1:15" x14ac:dyDescent="0.35">
      <c r="A34">
        <v>2003</v>
      </c>
      <c r="B34">
        <v>12402.038772293499</v>
      </c>
      <c r="C34">
        <v>12988.897485425399</v>
      </c>
      <c r="D34">
        <f t="shared" si="2"/>
        <v>109.33589242277503</v>
      </c>
      <c r="E34">
        <f t="shared" si="3"/>
        <v>127.89915076712487</v>
      </c>
      <c r="F34" s="1">
        <v>228.64999999999964</v>
      </c>
      <c r="G34" s="1">
        <v>270.84999999999945</v>
      </c>
      <c r="H34" s="3"/>
      <c r="I34">
        <v>2003</v>
      </c>
      <c r="J34">
        <v>12229.9</v>
      </c>
      <c r="K34">
        <v>12808.1</v>
      </c>
      <c r="N34">
        <f t="shared" si="0"/>
        <v>-172.13877229349964</v>
      </c>
      <c r="O34">
        <f t="shared" si="1"/>
        <v>-180.79748542539892</v>
      </c>
    </row>
    <row r="35" spans="1:15" x14ac:dyDescent="0.35">
      <c r="A35">
        <v>2004</v>
      </c>
      <c r="B35">
        <v>12619.6736102423</v>
      </c>
      <c r="C35">
        <v>13244.390677989</v>
      </c>
      <c r="D35">
        <f t="shared" si="2"/>
        <v>108.25448274290011</v>
      </c>
      <c r="E35">
        <f t="shared" si="3"/>
        <v>127.54161196915038</v>
      </c>
      <c r="F35" s="1">
        <v>231.25</v>
      </c>
      <c r="G35" s="1">
        <v>272.59999999999945</v>
      </c>
      <c r="H35" s="3"/>
      <c r="I35">
        <v>2004</v>
      </c>
      <c r="J35">
        <v>12462.8</v>
      </c>
      <c r="K35">
        <v>13078.8</v>
      </c>
      <c r="N35">
        <f t="shared" si="0"/>
        <v>-156.87361024230086</v>
      </c>
      <c r="O35">
        <f t="shared" si="1"/>
        <v>-165.59067798900105</v>
      </c>
    </row>
    <row r="36" spans="1:15" x14ac:dyDescent="0.35">
      <c r="A36">
        <v>2005</v>
      </c>
      <c r="B36">
        <v>12835.0567032651</v>
      </c>
      <c r="C36">
        <v>13499.063933302001</v>
      </c>
      <c r="D36">
        <f t="shared" si="2"/>
        <v>107.08630289644998</v>
      </c>
      <c r="E36">
        <f t="shared" si="3"/>
        <v>127.08042761175011</v>
      </c>
      <c r="F36" s="1">
        <v>229.80000000000018</v>
      </c>
      <c r="G36" s="1">
        <v>274.30000000000018</v>
      </c>
      <c r="H36" s="3"/>
      <c r="I36">
        <v>2005</v>
      </c>
      <c r="J36">
        <v>12692.4</v>
      </c>
      <c r="K36">
        <v>13353.3</v>
      </c>
      <c r="N36">
        <f t="shared" si="0"/>
        <v>-142.65670326510008</v>
      </c>
      <c r="O36">
        <f t="shared" si="1"/>
        <v>-145.76393330200153</v>
      </c>
    </row>
    <row r="37" spans="1:15" x14ac:dyDescent="0.35">
      <c r="A37">
        <v>2006</v>
      </c>
      <c r="B37">
        <v>13048.0188218281</v>
      </c>
      <c r="C37">
        <v>13752.712388436001</v>
      </c>
      <c r="D37">
        <f t="shared" si="2"/>
        <v>105.83566368287529</v>
      </c>
      <c r="E37">
        <f t="shared" si="3"/>
        <v>126.51802588537475</v>
      </c>
      <c r="F37" s="1">
        <v>231.19999999999982</v>
      </c>
      <c r="G37" s="1">
        <v>275.15000000000055</v>
      </c>
      <c r="H37" s="3"/>
      <c r="I37">
        <v>2006</v>
      </c>
      <c r="J37">
        <v>12922.4</v>
      </c>
      <c r="K37">
        <v>13627.4</v>
      </c>
      <c r="N37">
        <f t="shared" si="0"/>
        <v>-125.61882182810041</v>
      </c>
      <c r="O37">
        <f t="shared" si="1"/>
        <v>-125.31238843600113</v>
      </c>
    </row>
    <row r="38" spans="1:15" x14ac:dyDescent="0.35">
      <c r="A38">
        <v>2007</v>
      </c>
      <c r="B38">
        <v>13258.399357996601</v>
      </c>
      <c r="C38">
        <v>14005.1360368435</v>
      </c>
      <c r="D38">
        <f t="shared" si="2"/>
        <v>104.50687590159987</v>
      </c>
      <c r="E38">
        <f t="shared" si="3"/>
        <v>125.85683498045</v>
      </c>
      <c r="F38" s="1">
        <v>233.05000000000018</v>
      </c>
      <c r="G38" s="1">
        <v>275.85000000000036</v>
      </c>
      <c r="H38" s="3"/>
      <c r="I38">
        <v>2007</v>
      </c>
      <c r="J38">
        <v>13154.8</v>
      </c>
      <c r="K38">
        <v>13903.6</v>
      </c>
      <c r="N38">
        <f t="shared" si="0"/>
        <v>-103.59935799660161</v>
      </c>
      <c r="O38">
        <f t="shared" si="1"/>
        <v>-101.53603684349946</v>
      </c>
    </row>
    <row r="39" spans="1:15" x14ac:dyDescent="0.35">
      <c r="A39">
        <v>2008</v>
      </c>
      <c r="B39">
        <v>13466.0463254345</v>
      </c>
      <c r="C39">
        <v>14256.139728357801</v>
      </c>
      <c r="D39">
        <f t="shared" si="2"/>
        <v>103.10425035202479</v>
      </c>
      <c r="E39">
        <f t="shared" si="3"/>
        <v>125.09928308737517</v>
      </c>
      <c r="F39" s="1">
        <v>234.85000000000036</v>
      </c>
      <c r="G39" s="1">
        <v>276.69999999999982</v>
      </c>
      <c r="H39" s="3"/>
      <c r="I39">
        <v>2008</v>
      </c>
      <c r="J39">
        <v>13388.5</v>
      </c>
      <c r="K39">
        <v>14179.1</v>
      </c>
      <c r="N39">
        <f t="shared" si="0"/>
        <v>-77.546325434499522</v>
      </c>
      <c r="O39">
        <f t="shared" si="1"/>
        <v>-77.039728357800414</v>
      </c>
    </row>
    <row r="40" spans="1:15" x14ac:dyDescent="0.35">
      <c r="A40">
        <v>2009</v>
      </c>
      <c r="B40">
        <v>13670.8163594047</v>
      </c>
      <c r="C40">
        <v>14505.533169193001</v>
      </c>
      <c r="D40">
        <f t="shared" si="2"/>
        <v>101.63209783355023</v>
      </c>
      <c r="E40">
        <f t="shared" si="3"/>
        <v>124.2477983966246</v>
      </c>
      <c r="F40" s="1">
        <v>234.80000000000018</v>
      </c>
      <c r="G40" s="1">
        <v>275.69999999999982</v>
      </c>
      <c r="H40" s="3"/>
      <c r="I40">
        <v>2009</v>
      </c>
      <c r="J40">
        <v>13624.5</v>
      </c>
      <c r="K40">
        <v>14457</v>
      </c>
      <c r="N40">
        <f t="shared" si="0"/>
        <v>-46.316359404700052</v>
      </c>
      <c r="O40">
        <f t="shared" si="1"/>
        <v>-48.533169193000504</v>
      </c>
    </row>
    <row r="41" spans="1:15" x14ac:dyDescent="0.35">
      <c r="A41">
        <v>2010</v>
      </c>
      <c r="B41">
        <v>13872.5747167687</v>
      </c>
      <c r="C41">
        <v>14753.130921944299</v>
      </c>
      <c r="D41">
        <f t="shared" si="2"/>
        <v>100.09472914560001</v>
      </c>
      <c r="E41">
        <f t="shared" si="3"/>
        <v>123.30480909857488</v>
      </c>
      <c r="F41" s="1">
        <v>228.75</v>
      </c>
      <c r="G41" s="1">
        <v>261.5</v>
      </c>
      <c r="H41" s="3"/>
      <c r="I41">
        <v>2010</v>
      </c>
      <c r="J41">
        <v>13858.1</v>
      </c>
      <c r="K41">
        <v>14730.5</v>
      </c>
      <c r="N41">
        <f t="shared" si="0"/>
        <v>-14.474716768700091</v>
      </c>
      <c r="O41">
        <f t="shared" si="1"/>
        <v>-22.630921944299189</v>
      </c>
    </row>
    <row r="42" spans="1:15" x14ac:dyDescent="0.35">
      <c r="A42">
        <v>2011</v>
      </c>
      <c r="B42">
        <v>14071.1952759871</v>
      </c>
      <c r="C42">
        <v>14998.7524055873</v>
      </c>
      <c r="D42">
        <f t="shared" si="2"/>
        <v>98.496455087624781</v>
      </c>
      <c r="E42">
        <f t="shared" si="3"/>
        <v>122.27274338365032</v>
      </c>
      <c r="F42" s="1">
        <v>218.30000000000018</v>
      </c>
      <c r="G42" s="1">
        <v>242.39999999999964</v>
      </c>
      <c r="H42" s="3"/>
      <c r="I42">
        <v>2011</v>
      </c>
      <c r="J42">
        <v>14082</v>
      </c>
      <c r="K42">
        <v>14980</v>
      </c>
      <c r="N42">
        <f t="shared" si="0"/>
        <v>10.804724012899896</v>
      </c>
      <c r="O42">
        <f t="shared" si="1"/>
        <v>-18.752405587300018</v>
      </c>
    </row>
    <row r="43" spans="1:15" x14ac:dyDescent="0.35">
      <c r="A43">
        <v>2012</v>
      </c>
      <c r="B43">
        <v>14266.5605371192</v>
      </c>
      <c r="C43">
        <v>15242.2218954789</v>
      </c>
      <c r="D43">
        <f t="shared" si="2"/>
        <v>96.841586459000155</v>
      </c>
      <c r="E43">
        <f t="shared" si="3"/>
        <v>121.15402944234984</v>
      </c>
      <c r="F43" s="1">
        <v>263.60000000000036</v>
      </c>
      <c r="G43" s="1">
        <v>312.35000000000036</v>
      </c>
      <c r="H43" s="3"/>
      <c r="I43">
        <v>2012</v>
      </c>
      <c r="J43">
        <v>14294.7</v>
      </c>
      <c r="K43">
        <v>15215.3</v>
      </c>
      <c r="N43">
        <f t="shared" si="0"/>
        <v>28.139462880801148</v>
      </c>
      <c r="O43">
        <f t="shared" si="1"/>
        <v>-26.921895478901206</v>
      </c>
    </row>
    <row r="44" spans="1:15" x14ac:dyDescent="0.35">
      <c r="A44">
        <v>2013</v>
      </c>
      <c r="B44">
        <v>14458.561621823101</v>
      </c>
      <c r="C44">
        <v>15483.368523356699</v>
      </c>
      <c r="D44">
        <f t="shared" si="2"/>
        <v>95.134434059199975</v>
      </c>
      <c r="E44">
        <f t="shared" si="3"/>
        <v>119.95109546505</v>
      </c>
      <c r="F44" s="1">
        <v>273.04999999999927</v>
      </c>
      <c r="G44" s="1">
        <v>326.35000000000036</v>
      </c>
      <c r="H44" s="3"/>
      <c r="I44">
        <v>2013</v>
      </c>
      <c r="J44">
        <v>14609.2</v>
      </c>
      <c r="K44">
        <v>15604.7</v>
      </c>
      <c r="N44">
        <f t="shared" si="0"/>
        <v>150.63837817690001</v>
      </c>
      <c r="O44">
        <f t="shared" si="1"/>
        <v>121.33147664330136</v>
      </c>
    </row>
    <row r="45" spans="1:15" x14ac:dyDescent="0.35">
      <c r="A45">
        <v>2014</v>
      </c>
      <c r="B45">
        <v>14647.098273355999</v>
      </c>
      <c r="C45">
        <v>15722.0262773391</v>
      </c>
      <c r="D45">
        <f t="shared" si="2"/>
        <v>93.379308687624871</v>
      </c>
      <c r="E45">
        <f t="shared" si="3"/>
        <v>118.66636964215013</v>
      </c>
      <c r="F45" s="1">
        <v>232.44999999999982</v>
      </c>
      <c r="G45" s="1">
        <v>253.75</v>
      </c>
      <c r="H45" s="3"/>
      <c r="I45">
        <v>2014</v>
      </c>
      <c r="J45">
        <v>14840.8</v>
      </c>
      <c r="K45">
        <v>15868</v>
      </c>
      <c r="N45">
        <f t="shared" si="0"/>
        <v>193.70172664399979</v>
      </c>
      <c r="O45">
        <f t="shared" si="1"/>
        <v>145.97372266089951</v>
      </c>
    </row>
    <row r="46" spans="1:15" x14ac:dyDescent="0.35">
      <c r="A46">
        <v>2015</v>
      </c>
      <c r="B46">
        <v>14832.0788565736</v>
      </c>
      <c r="C46">
        <v>15958.0340019253</v>
      </c>
      <c r="D46">
        <f t="shared" si="2"/>
        <v>91.580521143650003</v>
      </c>
      <c r="E46">
        <f t="shared" si="3"/>
        <v>117.30228016410001</v>
      </c>
      <c r="F46" s="1">
        <v>223.15000000000055</v>
      </c>
      <c r="G46" s="1">
        <v>239.14999999999964</v>
      </c>
      <c r="H46" s="3"/>
      <c r="I46">
        <v>2015</v>
      </c>
      <c r="J46">
        <v>15074.1</v>
      </c>
      <c r="K46">
        <v>16112.2</v>
      </c>
      <c r="N46">
        <f t="shared" si="0"/>
        <v>242.02114342640016</v>
      </c>
      <c r="O46">
        <f t="shared" si="1"/>
        <v>154.16599807470084</v>
      </c>
    </row>
    <row r="47" spans="1:15" x14ac:dyDescent="0.35">
      <c r="A47">
        <v>2016</v>
      </c>
      <c r="B47">
        <v>15013.420357930599</v>
      </c>
      <c r="C47">
        <v>16191.235397995501</v>
      </c>
      <c r="D47">
        <f t="shared" si="2"/>
        <v>89.742382226750124</v>
      </c>
      <c r="E47">
        <f t="shared" si="3"/>
        <v>115.8612552213749</v>
      </c>
      <c r="F47" s="1">
        <v>202.89999999999964</v>
      </c>
      <c r="G47" s="1">
        <v>215.35000000000036</v>
      </c>
      <c r="H47" s="3"/>
      <c r="I47">
        <v>2016</v>
      </c>
      <c r="J47">
        <v>15287.1</v>
      </c>
      <c r="K47">
        <v>16346.3</v>
      </c>
      <c r="N47">
        <f t="shared" si="0"/>
        <v>273.67964206940087</v>
      </c>
      <c r="O47">
        <f t="shared" si="1"/>
        <v>155.06460200449874</v>
      </c>
    </row>
    <row r="48" spans="1:15" x14ac:dyDescent="0.35">
      <c r="A48">
        <v>2017</v>
      </c>
      <c r="B48">
        <v>15191.048385480601</v>
      </c>
      <c r="C48">
        <v>16421.4790228108</v>
      </c>
      <c r="D48">
        <f t="shared" si="2"/>
        <v>87.869202736324951</v>
      </c>
      <c r="E48">
        <f t="shared" si="3"/>
        <v>114.34572300434957</v>
      </c>
      <c r="F48" s="1">
        <v>186.89999999999964</v>
      </c>
      <c r="G48" s="1">
        <v>187.5</v>
      </c>
      <c r="H48" s="3"/>
      <c r="I48">
        <v>2017</v>
      </c>
      <c r="J48">
        <v>15479.9</v>
      </c>
      <c r="K48">
        <v>16542.900000000001</v>
      </c>
      <c r="N48">
        <f t="shared" si="0"/>
        <v>288.85161451939894</v>
      </c>
      <c r="O48">
        <f t="shared" si="1"/>
        <v>121.42097718920195</v>
      </c>
    </row>
    <row r="49" spans="1:15" x14ac:dyDescent="0.35">
      <c r="A49">
        <v>2018</v>
      </c>
      <c r="B49">
        <v>15364.897168875899</v>
      </c>
      <c r="C49">
        <v>16648.618290012899</v>
      </c>
      <c r="D49">
        <f t="shared" si="2"/>
        <v>85.965293471749646</v>
      </c>
      <c r="E49">
        <f t="shared" si="3"/>
        <v>112.75811170344969</v>
      </c>
      <c r="F49" s="1">
        <v>139.10000000000036</v>
      </c>
      <c r="G49" s="1">
        <v>110.89999999999964</v>
      </c>
      <c r="H49" s="3"/>
      <c r="I49">
        <v>2018</v>
      </c>
      <c r="J49">
        <v>15660.9</v>
      </c>
      <c r="K49">
        <v>16721.3</v>
      </c>
      <c r="N49">
        <f t="shared" si="0"/>
        <v>296.00283112410034</v>
      </c>
      <c r="O49">
        <f t="shared" si="1"/>
        <v>72.681709987100476</v>
      </c>
    </row>
    <row r="50" spans="1:15" x14ac:dyDescent="0.35">
      <c r="A50">
        <v>2019</v>
      </c>
      <c r="B50">
        <v>15534.909559367599</v>
      </c>
      <c r="C50">
        <v>16872.511469624598</v>
      </c>
      <c r="D50">
        <f t="shared" si="2"/>
        <v>84.034965232525337</v>
      </c>
      <c r="E50">
        <f t="shared" si="3"/>
        <v>111.10084950912551</v>
      </c>
      <c r="F50" s="1">
        <v>-89.849999999999454</v>
      </c>
      <c r="G50" s="1">
        <v>122.45000000000073</v>
      </c>
      <c r="H50" s="3"/>
      <c r="I50">
        <v>2019</v>
      </c>
      <c r="J50">
        <v>15758.1</v>
      </c>
      <c r="K50">
        <v>16764.7</v>
      </c>
      <c r="N50">
        <f t="shared" si="0"/>
        <v>223.19044063240108</v>
      </c>
      <c r="O50">
        <f t="shared" si="1"/>
        <v>-107.81146962459752</v>
      </c>
    </row>
    <row r="51" spans="1:15" x14ac:dyDescent="0.35">
      <c r="A51">
        <v>2020</v>
      </c>
      <c r="B51">
        <v>15701.037029806001</v>
      </c>
      <c r="C51">
        <v>17093.021688049401</v>
      </c>
      <c r="D51">
        <f t="shared" si="2"/>
        <v>82.082528818025366</v>
      </c>
      <c r="E51">
        <f t="shared" si="3"/>
        <v>109.37636461177499</v>
      </c>
      <c r="F51" s="1">
        <v>-91.100000000000364</v>
      </c>
      <c r="G51" s="1">
        <v>117.89999999999964</v>
      </c>
      <c r="H51" s="3"/>
      <c r="I51">
        <v>2020</v>
      </c>
      <c r="J51">
        <v>15481.2</v>
      </c>
      <c r="K51">
        <v>16966.2</v>
      </c>
      <c r="N51">
        <f t="shared" si="0"/>
        <v>-219.83702980599992</v>
      </c>
      <c r="O51">
        <f t="shared" si="1"/>
        <v>-126.82168804940011</v>
      </c>
    </row>
    <row r="52" spans="1:15" x14ac:dyDescent="0.35">
      <c r="A52">
        <v>2021</v>
      </c>
      <c r="B52">
        <v>15863.239674639701</v>
      </c>
      <c r="C52">
        <v>17310.016928071698</v>
      </c>
      <c r="D52">
        <f t="shared" si="2"/>
        <v>80.112295027624896</v>
      </c>
      <c r="E52">
        <f t="shared" si="3"/>
        <v>107.5870852018752</v>
      </c>
      <c r="F52" s="1">
        <v>88.549999999999272</v>
      </c>
      <c r="G52" s="1">
        <v>36.799999999999272</v>
      </c>
      <c r="H52" s="3"/>
      <c r="I52">
        <v>2021</v>
      </c>
      <c r="J52">
        <v>15575.9</v>
      </c>
      <c r="K52">
        <v>17000.5</v>
      </c>
      <c r="N52">
        <f t="shared" si="0"/>
        <v>-287.33967463970112</v>
      </c>
      <c r="O52">
        <f t="shared" si="1"/>
        <v>-309.5169280716982</v>
      </c>
    </row>
    <row r="53" spans="1:15" x14ac:dyDescent="0.35">
      <c r="A53">
        <v>2022</v>
      </c>
      <c r="B53">
        <v>16021.4862099165</v>
      </c>
      <c r="C53">
        <v>17523.370028856902</v>
      </c>
      <c r="D53">
        <f t="shared" si="2"/>
        <v>78.128574660824597</v>
      </c>
      <c r="E53">
        <f t="shared" si="3"/>
        <v>105.73543946985046</v>
      </c>
      <c r="F53" s="1">
        <v>176.80000000000018</v>
      </c>
      <c r="G53" s="1">
        <v>235.95000000000073</v>
      </c>
      <c r="H53" s="3"/>
      <c r="I53">
        <v>2022</v>
      </c>
      <c r="J53">
        <v>15658.3</v>
      </c>
      <c r="K53">
        <v>17039.8</v>
      </c>
      <c r="N53">
        <f t="shared" si="0"/>
        <v>-363.18620991650096</v>
      </c>
      <c r="O53">
        <f t="shared" si="1"/>
        <v>-483.57002885690235</v>
      </c>
    </row>
    <row r="54" spans="1:15" x14ac:dyDescent="0.35">
      <c r="A54">
        <v>2023</v>
      </c>
      <c r="B54">
        <v>16175.753973282999</v>
      </c>
      <c r="C54">
        <v>17732.9586859511</v>
      </c>
      <c r="I54">
        <v>2023</v>
      </c>
      <c r="J54">
        <v>15929.5</v>
      </c>
      <c r="K54">
        <v>17472.400000000001</v>
      </c>
      <c r="N54">
        <f t="shared" si="0"/>
        <v>-246.25397328299914</v>
      </c>
      <c r="O54">
        <f t="shared" si="1"/>
        <v>-260.5586859510986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 Jye Ying</dc:creator>
  <cp:lastModifiedBy>Sia Jye Ying</cp:lastModifiedBy>
  <dcterms:created xsi:type="dcterms:W3CDTF">2025-07-04T12:58:33Z</dcterms:created>
  <dcterms:modified xsi:type="dcterms:W3CDTF">2025-07-04T13:36:13Z</dcterms:modified>
</cp:coreProperties>
</file>